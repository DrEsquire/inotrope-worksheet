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6cfc09efc8f3fa/Pharmacy/CALCULATORS/"/>
    </mc:Choice>
  </mc:AlternateContent>
  <xr:revisionPtr revIDLastSave="18" documentId="8_{594AB585-93B7-4F5F-9D89-372E89205763}" xr6:coauthVersionLast="47" xr6:coauthVersionMax="47" xr10:uidLastSave="{BA4C11DE-C2D1-4E22-A201-9E7A26C1E76B}"/>
  <bookViews>
    <workbookView xWindow="-15150" yWindow="-16320" windowWidth="29040" windowHeight="15720" xr2:uid="{00000000-000D-0000-FFFF-FFFF00000000}"/>
  </bookViews>
  <sheets>
    <sheet name="INO Worksheet" sheetId="1" r:id="rId1"/>
    <sheet name="Weight Calculator" sheetId="4" r:id="rId2"/>
    <sheet name="Sheet2" sheetId="2" state="hidden" r:id="rId3"/>
  </sheets>
  <definedNames>
    <definedName name="Dobutamine">Sheet2!$D$2:$D$3</definedName>
    <definedName name="Drug">Sheet2!$A$1:$A$2</definedName>
    <definedName name="hours">Sheet2!$G$2:$G$6</definedName>
    <definedName name="Milrinone">Sheet2!$C$2:$C$4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4" i="4"/>
  <c r="F21" i="1"/>
  <c r="E27" i="1" s="1"/>
  <c r="E30" i="1"/>
  <c r="B2" i="4"/>
  <c r="B2" i="1"/>
  <c r="F4" i="1"/>
  <c r="F6" i="1" s="1"/>
  <c r="C23" i="1" l="1"/>
  <c r="F11" i="1"/>
  <c r="F12" i="1" s="1"/>
  <c r="F8" i="1"/>
  <c r="C21" i="1" l="1"/>
  <c r="E31" i="1"/>
  <c r="E29" i="1"/>
  <c r="C24" i="1"/>
  <c r="C16" i="1"/>
  <c r="F16" i="1" s="1"/>
  <c r="F17" i="1" s="1"/>
  <c r="C17" i="1"/>
  <c r="E28" i="1" l="1"/>
  <c r="C20" i="1"/>
</calcChain>
</file>

<file path=xl/sharedStrings.xml><?xml version="1.0" encoding="utf-8"?>
<sst xmlns="http://schemas.openxmlformats.org/spreadsheetml/2006/main" count="73" uniqueCount="48">
  <si>
    <t xml:space="preserve">Patient: </t>
  </si>
  <si>
    <t>Inotrope Worksheet</t>
  </si>
  <si>
    <t xml:space="preserve">Date: </t>
  </si>
  <si>
    <t>DRUG</t>
  </si>
  <si>
    <t>Milrinone</t>
  </si>
  <si>
    <t>mcg/min</t>
  </si>
  <si>
    <t>DOSE</t>
  </si>
  <si>
    <t>mcg/kg/min</t>
  </si>
  <si>
    <t>mg/hr</t>
  </si>
  <si>
    <t>PATIENT DOSING WEIGHT</t>
  </si>
  <si>
    <t>kg</t>
  </si>
  <si>
    <t>mg/BAG</t>
  </si>
  <si>
    <t>STANDARD CONCENTRATION</t>
  </si>
  <si>
    <t>mg/mL</t>
  </si>
  <si>
    <t>Daily Order</t>
  </si>
  <si>
    <t>mg</t>
  </si>
  <si>
    <t>Bag Change Schedule</t>
  </si>
  <si>
    <t>HOURS</t>
  </si>
  <si>
    <t>mL</t>
  </si>
  <si>
    <t>Overfill</t>
  </si>
  <si>
    <t>%</t>
  </si>
  <si>
    <t>Calculated BAG</t>
  </si>
  <si>
    <t>BAG with Overfill</t>
  </si>
  <si>
    <t>Minimum Pump Order</t>
  </si>
  <si>
    <t>Final Compounded Dose</t>
  </si>
  <si>
    <t>RATE</t>
  </si>
  <si>
    <t>mL/hr</t>
  </si>
  <si>
    <t>Max TIME</t>
  </si>
  <si>
    <t>Hr</t>
  </si>
  <si>
    <t>Pump Settings</t>
  </si>
  <si>
    <t>VOL:</t>
  </si>
  <si>
    <t>ATBI:</t>
  </si>
  <si>
    <t>RATE:</t>
  </si>
  <si>
    <t>mL/Hr</t>
  </si>
  <si>
    <t>Time:</t>
  </si>
  <si>
    <t>KVO:</t>
  </si>
  <si>
    <t xml:space="preserve">Pharmacist:  </t>
  </si>
  <si>
    <t>Weight Estimation</t>
  </si>
  <si>
    <t>Hospital DOSE</t>
  </si>
  <si>
    <t>Hospital RATE</t>
  </si>
  <si>
    <t>Hospital Concentration</t>
  </si>
  <si>
    <t>Kg</t>
  </si>
  <si>
    <t>Lb</t>
  </si>
  <si>
    <t>Dobutamine</t>
  </si>
  <si>
    <t>hours</t>
  </si>
  <si>
    <t xml:space="preserve">USP&lt;797&gt; 2024
</t>
  </si>
  <si>
    <t>Category 2 CSP - 10 days refrigerated</t>
  </si>
  <si>
    <t>Category 2 CSP - 4 days room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</si>
</sst>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0" borderId="5" xfId="0" applyBorder="1"/>
    <xf numFmtId="0" fontId="1" fillId="0" borderId="3" xfId="0" applyFont="1" applyBorder="1"/>
    <xf numFmtId="0" fontId="1" fillId="0" borderId="0" xfId="0" applyFont="1"/>
    <xf numFmtId="0" fontId="0" fillId="0" borderId="0" xfId="0" applyAlignment="1">
      <alignment horizontal="right"/>
    </xf>
    <xf numFmtId="0" fontId="1" fillId="0" borderId="13" xfId="0" applyFont="1" applyBorder="1"/>
    <xf numFmtId="14" fontId="1" fillId="0" borderId="13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2" borderId="1" xfId="0" applyFill="1" applyBorder="1" applyProtection="1">
      <protection locked="0"/>
    </xf>
    <xf numFmtId="164" fontId="1" fillId="0" borderId="0" xfId="0" applyNumberFormat="1" applyFont="1"/>
    <xf numFmtId="164" fontId="1" fillId="0" borderId="3" xfId="0" applyNumberFormat="1" applyFont="1" applyBorder="1"/>
    <xf numFmtId="0" fontId="1" fillId="0" borderId="4" xfId="0" applyFont="1" applyBorder="1"/>
    <xf numFmtId="0" fontId="1" fillId="0" borderId="10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1" xfId="0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0" fontId="1" fillId="0" borderId="6" xfId="0" applyFont="1" applyBorder="1"/>
    <xf numFmtId="0" fontId="0" fillId="0" borderId="12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7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13</xdr:row>
      <xdr:rowOff>142875</xdr:rowOff>
    </xdr:from>
    <xdr:to>
      <xdr:col>1</xdr:col>
      <xdr:colOff>952500</xdr:colOff>
      <xdr:row>21</xdr:row>
      <xdr:rowOff>123825</xdr:rowOff>
    </xdr:to>
    <xdr:sp macro="[0]!clear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8125" y="2971800"/>
          <a:ext cx="1247775" cy="1543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RESET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H35"/>
  <sheetViews>
    <sheetView tabSelected="1" zoomScaleNormal="100" workbookViewId="0">
      <selection activeCell="B1" sqref="B1:C1"/>
    </sheetView>
  </sheetViews>
  <sheetFormatPr defaultRowHeight="15" x14ac:dyDescent="0.25"/>
  <cols>
    <col min="1" max="1" width="8" customWidth="1"/>
    <col min="2" max="2" width="26.5703125" customWidth="1"/>
    <col min="3" max="3" width="11.5703125" customWidth="1"/>
    <col min="4" max="4" width="6.28515625" customWidth="1"/>
    <col min="9" max="43" width="5.140625" customWidth="1"/>
  </cols>
  <sheetData>
    <row r="1" spans="1:8" ht="24.75" customHeight="1" thickBot="1" x14ac:dyDescent="0.5">
      <c r="A1" s="5" t="s">
        <v>0</v>
      </c>
      <c r="B1" s="27">
        <v>165</v>
      </c>
      <c r="C1" s="28"/>
      <c r="D1" s="25" t="s">
        <v>1</v>
      </c>
      <c r="E1" s="26"/>
      <c r="F1" s="26"/>
      <c r="G1" s="26"/>
      <c r="H1" s="26"/>
    </row>
    <row r="2" spans="1:8" ht="24.75" customHeight="1" x14ac:dyDescent="0.25">
      <c r="A2" s="10" t="s">
        <v>2</v>
      </c>
      <c r="B2" s="9">
        <f ca="1">TODAY()</f>
        <v>46190</v>
      </c>
      <c r="C2" s="8"/>
    </row>
    <row r="3" spans="1:8" ht="15.75" thickBot="1" x14ac:dyDescent="0.3"/>
    <row r="4" spans="1:8" ht="15.75" thickBot="1" x14ac:dyDescent="0.3">
      <c r="B4" t="s">
        <v>3</v>
      </c>
      <c r="C4" s="12" t="s">
        <v>4</v>
      </c>
      <c r="F4">
        <f>C6*C8</f>
        <v>50</v>
      </c>
      <c r="G4" t="s">
        <v>5</v>
      </c>
    </row>
    <row r="5" spans="1:8" ht="15.75" thickBot="1" x14ac:dyDescent="0.3"/>
    <row r="6" spans="1:8" ht="15.75" thickBot="1" x14ac:dyDescent="0.3">
      <c r="B6" t="s">
        <v>6</v>
      </c>
      <c r="C6" s="12">
        <v>0.5</v>
      </c>
      <c r="D6" t="s">
        <v>7</v>
      </c>
      <c r="F6">
        <f>F4*0.06</f>
        <v>3</v>
      </c>
      <c r="G6" t="s">
        <v>8</v>
      </c>
    </row>
    <row r="7" spans="1:8" ht="15.75" thickBot="1" x14ac:dyDescent="0.3"/>
    <row r="8" spans="1:8" ht="15.75" thickBot="1" x14ac:dyDescent="0.3">
      <c r="B8" t="s">
        <v>9</v>
      </c>
      <c r="C8" s="12">
        <v>100</v>
      </c>
      <c r="D8" t="s">
        <v>10</v>
      </c>
      <c r="F8">
        <f>F6*C12</f>
        <v>144</v>
      </c>
      <c r="G8" t="s">
        <v>11</v>
      </c>
    </row>
    <row r="9" spans="1:8" ht="15.75" thickBot="1" x14ac:dyDescent="0.3"/>
    <row r="10" spans="1:8" ht="15.75" thickBot="1" x14ac:dyDescent="0.3">
      <c r="B10" t="s">
        <v>12</v>
      </c>
      <c r="C10" s="12">
        <v>0.4</v>
      </c>
      <c r="D10" t="s">
        <v>13</v>
      </c>
      <c r="F10" t="s">
        <v>14</v>
      </c>
    </row>
    <row r="11" spans="1:8" ht="15.75" thickBot="1" x14ac:dyDescent="0.3">
      <c r="F11" s="3">
        <f>F6*24</f>
        <v>72</v>
      </c>
      <c r="G11" s="1" t="s">
        <v>15</v>
      </c>
    </row>
    <row r="12" spans="1:8" ht="15.75" thickBot="1" x14ac:dyDescent="0.3">
      <c r="B12" t="s">
        <v>16</v>
      </c>
      <c r="C12" s="12">
        <v>48</v>
      </c>
      <c r="D12" t="s">
        <v>17</v>
      </c>
      <c r="F12" s="2">
        <f>IFERROR(F11/C10,"")</f>
        <v>180</v>
      </c>
      <c r="G12" t="s">
        <v>18</v>
      </c>
    </row>
    <row r="13" spans="1:8" ht="15.75" thickBot="1" x14ac:dyDescent="0.3"/>
    <row r="14" spans="1:8" ht="15.75" thickBot="1" x14ac:dyDescent="0.3">
      <c r="E14" t="s">
        <v>19</v>
      </c>
      <c r="F14" s="12">
        <v>15</v>
      </c>
      <c r="G14" s="6" t="s">
        <v>20</v>
      </c>
    </row>
    <row r="15" spans="1:8" x14ac:dyDescent="0.25">
      <c r="C15" t="s">
        <v>21</v>
      </c>
      <c r="F15" t="s">
        <v>22</v>
      </c>
    </row>
    <row r="16" spans="1:8" ht="15.75" thickBot="1" x14ac:dyDescent="0.3">
      <c r="C16" s="3">
        <f>F8</f>
        <v>144</v>
      </c>
      <c r="D16" s="1" t="s">
        <v>15</v>
      </c>
      <c r="F16" s="3">
        <f>(C16*F14%)+C16</f>
        <v>165.6</v>
      </c>
      <c r="G16" s="1" t="s">
        <v>15</v>
      </c>
    </row>
    <row r="17" spans="1:8" x14ac:dyDescent="0.25">
      <c r="C17" s="2">
        <f>IFERROR(F8/C10,"")</f>
        <v>360</v>
      </c>
      <c r="D17" t="s">
        <v>18</v>
      </c>
      <c r="F17" s="2">
        <f>IFERROR(F16/C10,"")</f>
        <v>413.99999999999994</v>
      </c>
      <c r="G17" t="s">
        <v>18</v>
      </c>
    </row>
    <row r="19" spans="1:8" ht="15.75" thickBot="1" x14ac:dyDescent="0.3">
      <c r="C19" t="s">
        <v>23</v>
      </c>
      <c r="F19" s="35" t="s">
        <v>24</v>
      </c>
      <c r="G19" s="35"/>
      <c r="H19" s="35"/>
    </row>
    <row r="20" spans="1:8" ht="15.75" thickBot="1" x14ac:dyDescent="0.3">
      <c r="C20" s="1">
        <f>IFERROR(C21*C10,"")</f>
        <v>144</v>
      </c>
      <c r="D20" s="1" t="s">
        <v>15</v>
      </c>
      <c r="F20" s="12">
        <v>150</v>
      </c>
      <c r="G20" s="4" t="s">
        <v>15</v>
      </c>
    </row>
    <row r="21" spans="1:8" x14ac:dyDescent="0.25">
      <c r="C21">
        <f>IFERROR(C23*C12,"")</f>
        <v>360</v>
      </c>
      <c r="D21" t="s">
        <v>18</v>
      </c>
      <c r="F21">
        <f>IFERROR(F20/C10,"")</f>
        <v>375</v>
      </c>
      <c r="G21" t="s">
        <v>18</v>
      </c>
    </row>
    <row r="22" spans="1:8" x14ac:dyDescent="0.25">
      <c r="C22" s="35"/>
      <c r="D22" s="35"/>
      <c r="E22" s="35"/>
    </row>
    <row r="23" spans="1:8" x14ac:dyDescent="0.25">
      <c r="A23" s="11"/>
      <c r="B23" s="10" t="s">
        <v>25</v>
      </c>
      <c r="C23" s="13">
        <f>IFERROR(ROUND(F6/C10,1),"")</f>
        <v>7.5</v>
      </c>
      <c r="D23" s="6" t="s">
        <v>26</v>
      </c>
      <c r="F23" s="13"/>
      <c r="G23" s="6"/>
    </row>
    <row r="24" spans="1:8" x14ac:dyDescent="0.25">
      <c r="B24" s="10" t="s">
        <v>27</v>
      </c>
      <c r="C24" s="13">
        <f>IFERROR(F21/C23,"")</f>
        <v>50</v>
      </c>
      <c r="D24" s="6" t="s">
        <v>28</v>
      </c>
      <c r="F24" s="2"/>
    </row>
    <row r="25" spans="1:8" ht="15" customHeight="1" thickBot="1" x14ac:dyDescent="0.3">
      <c r="F25" s="2"/>
    </row>
    <row r="26" spans="1:8" x14ac:dyDescent="0.25">
      <c r="D26" s="36" t="s">
        <v>29</v>
      </c>
      <c r="E26" s="37"/>
      <c r="F26" s="38"/>
    </row>
    <row r="27" spans="1:8" x14ac:dyDescent="0.25">
      <c r="D27" s="16" t="s">
        <v>30</v>
      </c>
      <c r="E27" s="17">
        <f>IFERROR(ROUNDUP(F21,0),"")</f>
        <v>375</v>
      </c>
      <c r="F27" s="18" t="s">
        <v>18</v>
      </c>
    </row>
    <row r="28" spans="1:8" ht="15.75" thickBot="1" x14ac:dyDescent="0.3">
      <c r="D28" s="16" t="s">
        <v>31</v>
      </c>
      <c r="E28" s="19">
        <f>IFERROR(ROUNDUP(C21,0),"")</f>
        <v>360</v>
      </c>
      <c r="F28" s="18" t="s">
        <v>18</v>
      </c>
    </row>
    <row r="29" spans="1:8" x14ac:dyDescent="0.25">
      <c r="A29" s="29" t="s">
        <v>45</v>
      </c>
      <c r="B29" s="30"/>
      <c r="D29" s="16" t="s">
        <v>32</v>
      </c>
      <c r="E29" s="20">
        <f>IFERROR(C23,"")</f>
        <v>7.5</v>
      </c>
      <c r="F29" s="18" t="s">
        <v>33</v>
      </c>
    </row>
    <row r="30" spans="1:8" x14ac:dyDescent="0.25">
      <c r="A30" s="31" t="s">
        <v>47</v>
      </c>
      <c r="B30" s="32"/>
      <c r="D30" s="16" t="s">
        <v>34</v>
      </c>
      <c r="E30" s="19">
        <f>C12</f>
        <v>48</v>
      </c>
      <c r="F30" s="18" t="s">
        <v>28</v>
      </c>
    </row>
    <row r="31" spans="1:8" ht="15.75" thickBot="1" x14ac:dyDescent="0.3">
      <c r="A31" s="33" t="s">
        <v>46</v>
      </c>
      <c r="B31" s="34"/>
      <c r="D31" s="21" t="s">
        <v>35</v>
      </c>
      <c r="E31" s="22">
        <f>IFERROR(C23,"")</f>
        <v>7.5</v>
      </c>
      <c r="F31" s="23" t="s">
        <v>33</v>
      </c>
    </row>
    <row r="33" spans="2:5" x14ac:dyDescent="0.25">
      <c r="B33" s="7" t="s">
        <v>36</v>
      </c>
      <c r="C33" s="24"/>
      <c r="D33" s="24"/>
      <c r="E33" s="24"/>
    </row>
    <row r="35" spans="2:5" x14ac:dyDescent="0.25">
      <c r="B35" s="7" t="s">
        <v>36</v>
      </c>
      <c r="C35" s="24"/>
      <c r="D35" s="24"/>
      <c r="E35" s="24"/>
    </row>
  </sheetData>
  <sheetProtection sheet="1" objects="1" scenarios="1" selectLockedCells="1"/>
  <mergeCells count="10">
    <mergeCell ref="C33:E33"/>
    <mergeCell ref="C35:E35"/>
    <mergeCell ref="D1:H1"/>
    <mergeCell ref="B1:C1"/>
    <mergeCell ref="A29:B29"/>
    <mergeCell ref="A30:B30"/>
    <mergeCell ref="A31:B31"/>
    <mergeCell ref="C22:E22"/>
    <mergeCell ref="F19:H19"/>
    <mergeCell ref="D26:F26"/>
  </mergeCells>
  <dataValidations count="3">
    <dataValidation type="list" allowBlank="1" showInputMessage="1" showErrorMessage="1" sqref="C4" xr:uid="{00000000-0002-0000-0000-000000000000}">
      <formula1>Drug</formula1>
    </dataValidation>
    <dataValidation type="list" allowBlank="1" showInputMessage="1" showErrorMessage="1" sqref="C10" xr:uid="{8577433B-69E4-4AFC-8B14-981342661A76}">
      <formula1>INDIRECT(C4)</formula1>
    </dataValidation>
    <dataValidation type="list" allowBlank="1" showInputMessage="1" showErrorMessage="1" sqref="C12" xr:uid="{7FAC0C5D-7460-4EAD-BE65-5326EE5C323A}">
      <formula1>hours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-0.249977111117893"/>
  </sheetPr>
  <dimension ref="A1:H24"/>
  <sheetViews>
    <sheetView zoomScaleNormal="100" workbookViewId="0">
      <selection activeCell="B27" sqref="B27"/>
    </sheetView>
  </sheetViews>
  <sheetFormatPr defaultRowHeight="15" x14ac:dyDescent="0.25"/>
  <cols>
    <col min="1" max="1" width="8" customWidth="1"/>
    <col min="2" max="2" width="26.5703125" customWidth="1"/>
    <col min="3" max="3" width="11.5703125" customWidth="1"/>
    <col min="4" max="4" width="6.28515625" customWidth="1"/>
  </cols>
  <sheetData>
    <row r="1" spans="1:8" ht="24.75" customHeight="1" thickBot="1" x14ac:dyDescent="0.5">
      <c r="A1" s="5" t="s">
        <v>0</v>
      </c>
      <c r="B1" s="27"/>
      <c r="C1" s="28"/>
      <c r="D1" s="25" t="s">
        <v>37</v>
      </c>
      <c r="E1" s="26"/>
      <c r="F1" s="26"/>
      <c r="G1" s="26"/>
      <c r="H1" s="26"/>
    </row>
    <row r="2" spans="1:8" ht="24.75" customHeight="1" x14ac:dyDescent="0.25">
      <c r="A2" s="10" t="s">
        <v>2</v>
      </c>
      <c r="B2" s="9">
        <f ca="1">TODAY()</f>
        <v>46190</v>
      </c>
      <c r="C2" s="8"/>
    </row>
    <row r="3" spans="1:8" ht="15.75" thickBot="1" x14ac:dyDescent="0.3"/>
    <row r="4" spans="1:8" ht="15.75" thickBot="1" x14ac:dyDescent="0.3">
      <c r="B4" t="s">
        <v>3</v>
      </c>
      <c r="C4" s="12"/>
    </row>
    <row r="5" spans="1:8" ht="15.75" thickBot="1" x14ac:dyDescent="0.3"/>
    <row r="6" spans="1:8" ht="15.75" thickBot="1" x14ac:dyDescent="0.3">
      <c r="B6" t="s">
        <v>38</v>
      </c>
      <c r="C6" s="12"/>
      <c r="D6" t="s">
        <v>7</v>
      </c>
    </row>
    <row r="7" spans="1:8" ht="15.75" thickBot="1" x14ac:dyDescent="0.3"/>
    <row r="8" spans="1:8" ht="15.75" thickBot="1" x14ac:dyDescent="0.3">
      <c r="B8" t="s">
        <v>39</v>
      </c>
      <c r="C8" s="12"/>
      <c r="D8" t="s">
        <v>33</v>
      </c>
    </row>
    <row r="9" spans="1:8" ht="15.75" thickBot="1" x14ac:dyDescent="0.3"/>
    <row r="10" spans="1:8" ht="15.75" thickBot="1" x14ac:dyDescent="0.3">
      <c r="B10" t="s">
        <v>40</v>
      </c>
      <c r="C10" s="12"/>
      <c r="D10" t="s">
        <v>13</v>
      </c>
    </row>
    <row r="11" spans="1:8" x14ac:dyDescent="0.25">
      <c r="F11" s="2"/>
    </row>
    <row r="12" spans="1:8" ht="15.75" thickBot="1" x14ac:dyDescent="0.3"/>
    <row r="13" spans="1:8" ht="15.75" thickBot="1" x14ac:dyDescent="0.3">
      <c r="B13" t="s">
        <v>9</v>
      </c>
      <c r="C13" s="14" t="str">
        <f>IFERROR((C10*C8*100)/(C6*6),"")</f>
        <v/>
      </c>
      <c r="D13" s="15" t="s">
        <v>41</v>
      </c>
    </row>
    <row r="14" spans="1:8" ht="15.75" thickBot="1" x14ac:dyDescent="0.3">
      <c r="C14" s="14" t="str">
        <f>IFERROR(C13*2.2,"")</f>
        <v/>
      </c>
      <c r="D14" s="15" t="s">
        <v>42</v>
      </c>
    </row>
    <row r="17" spans="2:6" x14ac:dyDescent="0.25">
      <c r="F17" s="2"/>
    </row>
    <row r="18" spans="2:6" x14ac:dyDescent="0.25">
      <c r="F18" s="2"/>
    </row>
    <row r="19" spans="2:6" x14ac:dyDescent="0.25">
      <c r="F19" s="2"/>
    </row>
    <row r="22" spans="2:6" x14ac:dyDescent="0.25">
      <c r="B22" s="7" t="s">
        <v>36</v>
      </c>
      <c r="C22" s="24"/>
      <c r="D22" s="24"/>
      <c r="E22" s="24"/>
    </row>
    <row r="24" spans="2:6" x14ac:dyDescent="0.25">
      <c r="B24" s="7" t="s">
        <v>36</v>
      </c>
      <c r="C24" s="24"/>
      <c r="D24" s="24"/>
      <c r="E24" s="24"/>
    </row>
  </sheetData>
  <sheetProtection selectLockedCells="1"/>
  <mergeCells count="4">
    <mergeCell ref="C22:E22"/>
    <mergeCell ref="C24:E24"/>
    <mergeCell ref="B1:C1"/>
    <mergeCell ref="D1:H1"/>
  </mergeCells>
  <dataValidations count="1">
    <dataValidation type="list" allowBlank="1" showInputMessage="1" showErrorMessage="1" sqref="C4" xr:uid="{00000000-0002-0000-0100-000000000000}">
      <formula1>Drug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6"/>
  <sheetViews>
    <sheetView workbookViewId="0">
      <selection activeCell="G2" sqref="G2:G6"/>
    </sheetView>
  </sheetViews>
  <sheetFormatPr defaultRowHeight="15" x14ac:dyDescent="0.25"/>
  <cols>
    <col min="1" max="1" width="12.5703125" customWidth="1"/>
  </cols>
  <sheetData>
    <row r="1" spans="1:7" x14ac:dyDescent="0.25">
      <c r="A1" s="6" t="s">
        <v>4</v>
      </c>
      <c r="C1" t="s">
        <v>4</v>
      </c>
      <c r="D1" t="s">
        <v>43</v>
      </c>
      <c r="G1" t="s">
        <v>44</v>
      </c>
    </row>
    <row r="2" spans="1:7" x14ac:dyDescent="0.25">
      <c r="A2" s="6" t="s">
        <v>43</v>
      </c>
      <c r="C2">
        <v>0.2</v>
      </c>
      <c r="D2">
        <v>4</v>
      </c>
      <c r="G2">
        <v>12</v>
      </c>
    </row>
    <row r="3" spans="1:7" x14ac:dyDescent="0.25">
      <c r="C3">
        <v>0.4</v>
      </c>
      <c r="D3">
        <v>5</v>
      </c>
      <c r="G3">
        <v>24</v>
      </c>
    </row>
    <row r="4" spans="1:7" x14ac:dyDescent="0.25">
      <c r="C4">
        <v>0.8</v>
      </c>
      <c r="G4">
        <v>48</v>
      </c>
    </row>
    <row r="5" spans="1:7" x14ac:dyDescent="0.25">
      <c r="G5">
        <v>72</v>
      </c>
    </row>
    <row r="6" spans="1:7" x14ac:dyDescent="0.25">
      <c r="G6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INO Worksheet</vt:lpstr>
      <vt:lpstr>Weight Calculator</vt:lpstr>
      <vt:lpstr>Sheet2</vt:lpstr>
      <vt:lpstr>Dobutamine</vt:lpstr>
      <vt:lpstr>Drug</vt:lpstr>
      <vt:lpstr>hours</vt:lpstr>
      <vt:lpstr>Milrinone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eholmes</dc:creator>
  <cp:keywords/>
  <dc:description/>
  <cp:lastModifiedBy>Eric Holmes</cp:lastModifiedBy>
  <cp:revision/>
  <cp:lastPrinted>2025-10-21T16:44:32Z</cp:lastPrinted>
  <dcterms:created xsi:type="dcterms:W3CDTF">2013-11-13T18:07:33Z</dcterms:created>
  <dcterms:modified xsi:type="dcterms:W3CDTF">2026-06-17T10:08:34Z</dcterms:modified>
  <cp:category/>
  <cp:contentStatus/>
</cp:coreProperties>
</file>